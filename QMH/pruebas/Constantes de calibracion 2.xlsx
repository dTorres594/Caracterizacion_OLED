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Caracterizacion_OLED\QMH\pruebas\"/>
    </mc:Choice>
  </mc:AlternateContent>
  <xr:revisionPtr revIDLastSave="0" documentId="13_ncr:1_{4D795E7F-728C-46B6-919E-3D98628B5E70}" xr6:coauthVersionLast="47" xr6:coauthVersionMax="47" xr10:uidLastSave="{00000000-0000-0000-0000-000000000000}"/>
  <bookViews>
    <workbookView xWindow="-28920" yWindow="-120" windowWidth="23280" windowHeight="13200" activeTab="1" xr2:uid="{B0A14399-4A11-487A-A31E-657F5EA4A6A3}"/>
  </bookViews>
  <sheets>
    <sheet name="Azul" sheetId="3" r:id="rId1"/>
    <sheet name="Verde" sheetId="2" r:id="rId2"/>
    <sheet name="Rojo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1" i="2" l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41" i="1"/>
  <c r="I47" i="3"/>
  <c r="I48" i="3"/>
  <c r="I49" i="3"/>
  <c r="I50" i="3"/>
  <c r="I51" i="3"/>
  <c r="I52" i="3"/>
  <c r="I53" i="3"/>
  <c r="I54" i="3"/>
  <c r="I55" i="3"/>
  <c r="I56" i="3"/>
  <c r="I57" i="3"/>
  <c r="I58" i="3"/>
  <c r="L58" i="3" s="1"/>
  <c r="I46" i="3"/>
  <c r="B47" i="3"/>
  <c r="L47" i="3" s="1"/>
  <c r="B48" i="3"/>
  <c r="B49" i="3"/>
  <c r="L49" i="3" s="1"/>
  <c r="B50" i="3"/>
  <c r="B51" i="3"/>
  <c r="B52" i="3"/>
  <c r="L52" i="3" s="1"/>
  <c r="B53" i="3"/>
  <c r="B54" i="3"/>
  <c r="B55" i="3"/>
  <c r="B56" i="3"/>
  <c r="B57" i="3"/>
  <c r="B58" i="3"/>
  <c r="B46" i="3"/>
  <c r="B41" i="2"/>
  <c r="I41" i="2"/>
  <c r="I42" i="2"/>
  <c r="B43" i="2"/>
  <c r="L43" i="2" s="1"/>
  <c r="B44" i="2"/>
  <c r="L44" i="2" s="1"/>
  <c r="B45" i="2"/>
  <c r="L45" i="2" s="1"/>
  <c r="B46" i="2"/>
  <c r="L46" i="2" s="1"/>
  <c r="B47" i="2"/>
  <c r="L47" i="2" s="1"/>
  <c r="B48" i="2"/>
  <c r="L48" i="2" s="1"/>
  <c r="B49" i="2"/>
  <c r="L49" i="2" s="1"/>
  <c r="B50" i="2"/>
  <c r="L50" i="2" s="1"/>
  <c r="B51" i="2"/>
  <c r="L51" i="2" s="1"/>
  <c r="B52" i="2"/>
  <c r="L52" i="2" s="1"/>
  <c r="B53" i="2"/>
  <c r="L53" i="2" s="1"/>
  <c r="B54" i="2"/>
  <c r="L54" i="2" s="1"/>
  <c r="B55" i="2"/>
  <c r="L55" i="2" s="1"/>
  <c r="B42" i="2"/>
  <c r="L42" i="2" s="1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B41" i="1"/>
  <c r="B42" i="1"/>
  <c r="B43" i="1"/>
  <c r="B44" i="1"/>
  <c r="B45" i="1"/>
  <c r="L45" i="1" s="1"/>
  <c r="B46" i="1"/>
  <c r="B47" i="1"/>
  <c r="L47" i="1" s="1"/>
  <c r="B48" i="1"/>
  <c r="B49" i="1"/>
  <c r="B50" i="1"/>
  <c r="B51" i="1"/>
  <c r="B52" i="1"/>
  <c r="B53" i="1"/>
  <c r="B54" i="1"/>
  <c r="B55" i="1"/>
  <c r="B56" i="1"/>
  <c r="B57" i="1"/>
  <c r="B58" i="1"/>
  <c r="L46" i="3" l="1"/>
  <c r="L42" i="1"/>
  <c r="L41" i="1"/>
  <c r="L51" i="1"/>
  <c r="L50" i="1"/>
  <c r="L57" i="1"/>
  <c r="L53" i="1"/>
  <c r="L52" i="1"/>
  <c r="L43" i="1"/>
  <c r="L46" i="1"/>
  <c r="L44" i="1"/>
  <c r="L49" i="1"/>
  <c r="L58" i="1"/>
  <c r="L48" i="1"/>
  <c r="L56" i="3"/>
  <c r="L53" i="3"/>
  <c r="L54" i="3"/>
  <c r="L55" i="3"/>
  <c r="L51" i="3"/>
  <c r="L57" i="3"/>
  <c r="L48" i="3"/>
  <c r="L50" i="3"/>
  <c r="L56" i="1"/>
  <c r="L55" i="1"/>
  <c r="L54" i="1"/>
</calcChain>
</file>

<file path=xl/sharedStrings.xml><?xml version="1.0" encoding="utf-8"?>
<sst xmlns="http://schemas.openxmlformats.org/spreadsheetml/2006/main" count="45" uniqueCount="10">
  <si>
    <t>C1</t>
  </si>
  <si>
    <t>C2</t>
  </si>
  <si>
    <t>C3</t>
  </si>
  <si>
    <t>C4</t>
  </si>
  <si>
    <t>C5</t>
  </si>
  <si>
    <t>LUXOMETRO</t>
  </si>
  <si>
    <t>FOTODIODO</t>
  </si>
  <si>
    <t>CONSTANTES PUNTUALES</t>
  </si>
  <si>
    <t>PROMEDIO (Lux)</t>
  </si>
  <si>
    <t>PROMEDIO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</si>
</sst>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Verde!$A$3:$A$38</c:f>
              <c:numCache>
                <c:formatCode>General</c:formatCode>
                <c:ptCount val="3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</c:numCache>
            </c:numRef>
          </c:xVal>
          <c:yVal>
            <c:numRef>
              <c:f>Verde!$B$3:$B$38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0.34</c:v>
                </c:pt>
                <c:pt idx="23">
                  <c:v>0.77</c:v>
                </c:pt>
                <c:pt idx="24">
                  <c:v>1.2</c:v>
                </c:pt>
                <c:pt idx="25">
                  <c:v>1.91</c:v>
                </c:pt>
                <c:pt idx="26">
                  <c:v>2.6</c:v>
                </c:pt>
                <c:pt idx="27">
                  <c:v>3.39</c:v>
                </c:pt>
                <c:pt idx="28">
                  <c:v>4.3</c:v>
                </c:pt>
                <c:pt idx="29">
                  <c:v>5.31</c:v>
                </c:pt>
                <c:pt idx="30">
                  <c:v>6.43</c:v>
                </c:pt>
                <c:pt idx="31">
                  <c:v>7.62</c:v>
                </c:pt>
                <c:pt idx="32">
                  <c:v>9.11</c:v>
                </c:pt>
                <c:pt idx="33">
                  <c:v>10.82</c:v>
                </c:pt>
                <c:pt idx="34">
                  <c:v>12</c:v>
                </c:pt>
                <c:pt idx="35">
                  <c:v>13.63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1-4476-A030-9763A5CA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8464"/>
        <c:axId val="151301904"/>
      </c:scatterChart>
      <c:valAx>
        <c:axId val="15128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301904"/>
        <c:crosses val="autoZero"/>
        <c:crossBetween val="midCat"/>
      </c:valAx>
      <c:valAx>
        <c:axId val="1513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28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18</xdr:row>
      <xdr:rowOff>104775</xdr:rowOff>
    </xdr:from>
    <xdr:to>
      <xdr:col>12</xdr:col>
      <xdr:colOff>228600</xdr:colOff>
      <xdr:row>32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033897-AA42-39FA-62F5-02A455209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9BDA-F986-463B-A6D0-342A62D0A3F6}">
  <dimension ref="A1:M59"/>
  <sheetViews>
    <sheetView topLeftCell="A19" workbookViewId="0">
      <selection activeCell="E43" sqref="E43"/>
    </sheetView>
  </sheetViews>
  <sheetFormatPr baseColWidth="10" defaultRowHeight="15" x14ac:dyDescent="0.25"/>
  <sheetData>
    <row r="1" spans="1:13" x14ac:dyDescent="0.25">
      <c r="A1" s="9" t="s">
        <v>5</v>
      </c>
      <c r="B1" s="9"/>
      <c r="C1" s="9"/>
      <c r="D1" s="9"/>
      <c r="E1" s="9"/>
      <c r="F1" s="9"/>
      <c r="H1" s="10" t="s">
        <v>6</v>
      </c>
      <c r="I1" s="10"/>
      <c r="J1" s="10"/>
      <c r="K1" s="10"/>
      <c r="L1" s="10"/>
      <c r="M1" s="10"/>
    </row>
    <row r="2" spans="1:13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I2" s="2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H3" s="1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25">
      <c r="A4" s="1">
        <v>0.1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0.1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25">
      <c r="A5" s="1">
        <v>0.2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1">
        <v>0.2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25">
      <c r="A6" s="1">
        <v>0.3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H6" s="1">
        <v>0.3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25">
      <c r="A7" s="1">
        <v>0.4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H7" s="1">
        <v>0.4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25">
      <c r="A8" s="1">
        <v>0.5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1">
        <v>0.5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25">
      <c r="A9" s="1">
        <v>0.6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H9" s="1">
        <v>0.6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25">
      <c r="A10" s="1">
        <v>0.7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>
        <v>0.7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 x14ac:dyDescent="0.25">
      <c r="A11" s="1">
        <v>0.8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0.8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25">
      <c r="A12" s="1">
        <v>0.9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v>0.9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 x14ac:dyDescent="0.25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H13" s="1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25">
      <c r="A14" s="1">
        <v>1.1000000000000001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H14" s="1">
        <v>1.1000000000000001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s="1">
        <v>1.2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H15" s="1">
        <v>1.2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25">
      <c r="A16" s="1">
        <v>1.3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H16" s="1">
        <v>1.3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5">
      <c r="A17" s="1">
        <v>1.4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1">
        <v>1.4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s="1">
        <v>1.5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H18" s="1">
        <v>1.5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25">
      <c r="A19" s="1">
        <v>1.6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v>1.6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25">
      <c r="A20" s="1">
        <v>1.7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H20" s="1">
        <v>1.7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1:13" x14ac:dyDescent="0.25">
      <c r="A21" s="1">
        <v>1.8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H21" s="1">
        <v>1.8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25">
      <c r="A22" s="1">
        <v>1.9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H22" s="1">
        <v>1.9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25">
      <c r="A23" s="1">
        <v>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H23" s="1">
        <v>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25">
      <c r="A24" s="1">
        <v>2.1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H24" s="1">
        <v>2.1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25">
      <c r="A25" s="1">
        <v>2.2000000000000002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H25" s="1">
        <v>2.2000000000000002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25">
      <c r="A26" s="1">
        <v>2.2999999999999998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H26" s="1">
        <v>2.2999999999999998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 x14ac:dyDescent="0.25">
      <c r="A27" s="1">
        <v>2.4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H27" s="1">
        <v>2.4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5">
      <c r="A28" s="1">
        <v>2.5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H28" s="1">
        <v>2.5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</row>
    <row r="29" spans="1:13" x14ac:dyDescent="0.25">
      <c r="A29" s="1">
        <v>2.6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H29" s="1">
        <v>2.6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25">
      <c r="A30" s="1">
        <v>2.7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H30" s="1">
        <v>2.7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25">
      <c r="A31" s="1">
        <v>2.8</v>
      </c>
      <c r="B31" s="1">
        <v>0.12</v>
      </c>
      <c r="C31" s="1">
        <v>0.13</v>
      </c>
      <c r="D31" s="1">
        <v>0.13</v>
      </c>
      <c r="E31" s="1">
        <v>0.13</v>
      </c>
      <c r="F31" s="1">
        <v>0.11</v>
      </c>
      <c r="H31" s="1">
        <v>2.8</v>
      </c>
      <c r="I31" s="4">
        <v>0.3216967</v>
      </c>
      <c r="J31" s="4">
        <v>0.36133470000000001</v>
      </c>
      <c r="K31" s="4">
        <v>0.31654060000000001</v>
      </c>
      <c r="L31" s="4">
        <v>0.35456729999999997</v>
      </c>
      <c r="M31" s="4">
        <v>0.31009540000000002</v>
      </c>
    </row>
    <row r="32" spans="1:13" x14ac:dyDescent="0.25">
      <c r="A32" s="1">
        <v>2.9</v>
      </c>
      <c r="B32" s="1">
        <v>0.38</v>
      </c>
      <c r="C32" s="1">
        <v>0.54</v>
      </c>
      <c r="D32" s="1">
        <v>0.67</v>
      </c>
      <c r="E32" s="1">
        <v>0.47</v>
      </c>
      <c r="F32" s="1">
        <v>0.34</v>
      </c>
      <c r="H32" s="1">
        <v>2.9</v>
      </c>
      <c r="I32" s="4">
        <v>0.834735</v>
      </c>
      <c r="J32" s="4">
        <v>0.83570169999999999</v>
      </c>
      <c r="K32" s="4">
        <v>0.83537950000000005</v>
      </c>
      <c r="L32" s="4">
        <v>0.83602399999999999</v>
      </c>
      <c r="M32" s="4">
        <v>0.83537950000000005</v>
      </c>
    </row>
    <row r="33" spans="1:13" x14ac:dyDescent="0.25">
      <c r="A33" s="1">
        <v>3</v>
      </c>
      <c r="B33" s="1">
        <v>0.96</v>
      </c>
      <c r="C33" s="1">
        <v>1.57</v>
      </c>
      <c r="D33" s="1">
        <v>1.74</v>
      </c>
      <c r="E33" s="1">
        <v>1.43</v>
      </c>
      <c r="F33" s="1">
        <v>0.97</v>
      </c>
      <c r="H33" s="1">
        <v>3</v>
      </c>
      <c r="I33" s="4">
        <v>0.87824009999999997</v>
      </c>
      <c r="J33" s="4">
        <v>0.87920690000000001</v>
      </c>
      <c r="K33" s="4">
        <v>0.87888460000000002</v>
      </c>
      <c r="L33" s="4">
        <v>0.87920690000000001</v>
      </c>
      <c r="M33" s="4">
        <v>0.87888460000000002</v>
      </c>
    </row>
    <row r="34" spans="1:13" x14ac:dyDescent="0.25">
      <c r="A34" s="1">
        <v>3.1</v>
      </c>
      <c r="B34" s="1">
        <v>2</v>
      </c>
      <c r="C34" s="1">
        <v>2.61</v>
      </c>
      <c r="D34" s="1">
        <v>3.02</v>
      </c>
      <c r="E34" s="1">
        <v>2.4</v>
      </c>
      <c r="F34" s="1">
        <v>2.04</v>
      </c>
      <c r="H34" s="1">
        <v>3.1</v>
      </c>
      <c r="I34" s="4">
        <v>0.91272189999999997</v>
      </c>
      <c r="J34" s="4">
        <v>0.91401100000000002</v>
      </c>
      <c r="K34" s="4">
        <v>0.91336649999999997</v>
      </c>
      <c r="L34" s="4">
        <v>0.91433319999999996</v>
      </c>
      <c r="M34" s="4">
        <v>0.91401100000000002</v>
      </c>
    </row>
    <row r="35" spans="1:13" x14ac:dyDescent="0.25">
      <c r="A35" s="1">
        <v>3.2</v>
      </c>
      <c r="B35" s="1">
        <v>3.75</v>
      </c>
      <c r="C35" s="1">
        <v>6.18</v>
      </c>
      <c r="D35" s="1">
        <v>6.34</v>
      </c>
      <c r="E35" s="1">
        <v>6.08</v>
      </c>
      <c r="F35" s="1">
        <v>3.78</v>
      </c>
      <c r="H35" s="1">
        <v>3.2</v>
      </c>
      <c r="I35" s="4">
        <v>0.94236989999999998</v>
      </c>
      <c r="J35" s="4">
        <v>0.94365889999999997</v>
      </c>
      <c r="K35" s="4">
        <v>0.94333670000000003</v>
      </c>
      <c r="L35" s="4">
        <v>0.94333670000000003</v>
      </c>
      <c r="M35" s="4">
        <v>0.94301440000000003</v>
      </c>
    </row>
    <row r="36" spans="1:13" x14ac:dyDescent="0.25">
      <c r="A36" s="1">
        <v>3.3</v>
      </c>
      <c r="B36" s="1">
        <v>6.82</v>
      </c>
      <c r="C36" s="1">
        <v>10.19</v>
      </c>
      <c r="D36" s="1">
        <v>10.35</v>
      </c>
      <c r="E36" s="1">
        <v>10.119999999999999</v>
      </c>
      <c r="F36" s="1">
        <v>6.59</v>
      </c>
      <c r="H36" s="1">
        <v>3.3</v>
      </c>
      <c r="I36" s="4">
        <v>0.96718389999999999</v>
      </c>
      <c r="J36" s="4">
        <v>0.96815070000000003</v>
      </c>
      <c r="K36" s="4">
        <v>0.96847289999999997</v>
      </c>
      <c r="L36" s="4">
        <v>0.96847289999999997</v>
      </c>
      <c r="M36" s="4">
        <v>0.96750619999999998</v>
      </c>
    </row>
    <row r="37" spans="1:13" x14ac:dyDescent="0.25">
      <c r="A37" s="1">
        <v>3.4</v>
      </c>
      <c r="B37" s="1">
        <v>12.21</v>
      </c>
      <c r="C37" s="1">
        <v>15.63</v>
      </c>
      <c r="D37" s="1">
        <v>15.77</v>
      </c>
      <c r="E37" s="1">
        <v>15.57</v>
      </c>
      <c r="F37" s="1">
        <v>10.55</v>
      </c>
      <c r="H37" s="1">
        <v>3.4</v>
      </c>
      <c r="I37" s="4">
        <v>0.98974209999999996</v>
      </c>
      <c r="J37" s="4">
        <v>0.98974209999999996</v>
      </c>
      <c r="K37" s="4">
        <v>0.99006439999999996</v>
      </c>
      <c r="L37" s="4">
        <v>0.99038660000000001</v>
      </c>
      <c r="M37" s="4">
        <v>0.99038660000000001</v>
      </c>
    </row>
    <row r="38" spans="1:13" x14ac:dyDescent="0.25">
      <c r="A38" s="1">
        <v>3.5</v>
      </c>
      <c r="B38" s="1">
        <v>18.57</v>
      </c>
      <c r="C38" s="1">
        <v>22.36</v>
      </c>
      <c r="D38" s="1">
        <v>22.55</v>
      </c>
      <c r="E38" s="1">
        <v>22.27</v>
      </c>
      <c r="F38" s="1">
        <v>16.07</v>
      </c>
      <c r="H38" s="1">
        <v>3.5</v>
      </c>
      <c r="I38" s="4">
        <v>1.0090779999999999</v>
      </c>
      <c r="J38" s="4">
        <v>1.009722</v>
      </c>
      <c r="K38" s="4">
        <v>1.0090779999999999</v>
      </c>
      <c r="L38" s="4">
        <v>1.0094000000000001</v>
      </c>
      <c r="M38" s="4">
        <v>1.0090779999999999</v>
      </c>
    </row>
    <row r="39" spans="1:13" x14ac:dyDescent="0.25">
      <c r="A39" s="1">
        <v>3.6</v>
      </c>
      <c r="B39" s="1">
        <v>28.84</v>
      </c>
      <c r="C39" s="1">
        <v>30.74</v>
      </c>
      <c r="D39" s="1">
        <v>30.88</v>
      </c>
      <c r="E39" s="1">
        <v>30.68</v>
      </c>
      <c r="F39" s="1">
        <v>24.59</v>
      </c>
      <c r="H39" s="1">
        <v>3.6</v>
      </c>
      <c r="I39" s="4">
        <v>1.0255129999999999</v>
      </c>
      <c r="J39" s="4">
        <v>1.0255129999999999</v>
      </c>
      <c r="K39" s="4">
        <v>1.0258350000000001</v>
      </c>
      <c r="L39" s="4">
        <v>1.0258350000000001</v>
      </c>
      <c r="M39" s="4">
        <v>1.0255129999999999</v>
      </c>
    </row>
    <row r="40" spans="1:13" x14ac:dyDescent="0.25">
      <c r="A40" s="1">
        <v>3.7</v>
      </c>
      <c r="B40" s="1">
        <v>38.700000000000003</v>
      </c>
      <c r="D40" s="1"/>
      <c r="F40" s="1">
        <v>35.869999999999997</v>
      </c>
      <c r="H40" s="1">
        <v>3.7</v>
      </c>
      <c r="I40" s="4">
        <v>1.039048</v>
      </c>
      <c r="J40" s="4">
        <v>1.0393699999999999</v>
      </c>
      <c r="K40" s="4">
        <v>1.0393699999999999</v>
      </c>
      <c r="L40" s="4">
        <v>1.0400149999999999</v>
      </c>
      <c r="M40" s="4">
        <v>1.0396920000000001</v>
      </c>
    </row>
    <row r="41" spans="1:13" x14ac:dyDescent="0.25">
      <c r="A41" s="1">
        <v>3.8</v>
      </c>
      <c r="H41" s="1">
        <v>3.8</v>
      </c>
      <c r="I41" s="4">
        <v>1.0516160000000001</v>
      </c>
      <c r="J41" s="4">
        <v>1.051938</v>
      </c>
      <c r="K41" s="4">
        <v>1.052583</v>
      </c>
      <c r="L41" s="4">
        <v>1.0516160000000001</v>
      </c>
      <c r="M41" s="4">
        <v>1.0516160000000001</v>
      </c>
    </row>
    <row r="42" spans="1:13" x14ac:dyDescent="0.25">
      <c r="A42" s="1">
        <v>3.9</v>
      </c>
      <c r="H42" s="1">
        <v>3.9</v>
      </c>
      <c r="I42" s="4">
        <v>1.061606</v>
      </c>
      <c r="J42" s="4">
        <v>1.0622510000000001</v>
      </c>
      <c r="K42" s="4">
        <v>1.061606</v>
      </c>
      <c r="L42" s="4">
        <v>1.062573</v>
      </c>
      <c r="M42" s="4">
        <v>1.0622510000000001</v>
      </c>
    </row>
    <row r="43" spans="1:13" x14ac:dyDescent="0.25">
      <c r="A43" s="1">
        <v>4</v>
      </c>
      <c r="H43" s="1">
        <v>4</v>
      </c>
      <c r="I43" s="4">
        <v>1.0706290000000001</v>
      </c>
      <c r="J43" s="4">
        <v>1.069985</v>
      </c>
      <c r="K43" s="4">
        <v>1.0706290000000001</v>
      </c>
      <c r="L43" s="4">
        <v>1.0703069999999999</v>
      </c>
      <c r="M43" s="4">
        <v>1.069985</v>
      </c>
    </row>
    <row r="45" spans="1:13" x14ac:dyDescent="0.25">
      <c r="A45" s="10" t="s">
        <v>8</v>
      </c>
      <c r="B45" s="10"/>
      <c r="C45" s="1"/>
      <c r="D45" s="1"/>
      <c r="E45" s="1"/>
      <c r="F45" s="1"/>
      <c r="H45" s="11" t="s">
        <v>9</v>
      </c>
      <c r="I45" s="11"/>
      <c r="K45" s="10" t="s">
        <v>7</v>
      </c>
      <c r="L45" s="10"/>
    </row>
    <row r="46" spans="1:13" x14ac:dyDescent="0.25">
      <c r="A46" s="1">
        <v>2.8</v>
      </c>
      <c r="B46" s="1">
        <f>AVERAGE(B31:F31)</f>
        <v>0.124</v>
      </c>
      <c r="C46" s="1"/>
      <c r="D46" s="1"/>
      <c r="E46" s="1"/>
      <c r="F46" s="1"/>
      <c r="H46" s="1">
        <v>2.8</v>
      </c>
      <c r="I46" s="4">
        <f>AVERAGE(I31:M31)</f>
        <v>0.33284693999999998</v>
      </c>
      <c r="K46" s="1">
        <v>2.8</v>
      </c>
      <c r="L46">
        <f>B46/I46</f>
        <v>0.37254360818218729</v>
      </c>
    </row>
    <row r="47" spans="1:13" x14ac:dyDescent="0.25">
      <c r="A47" s="1">
        <v>2.9</v>
      </c>
      <c r="B47" s="1">
        <f t="shared" ref="B47:B58" si="0">AVERAGE(B32:F32)</f>
        <v>0.48</v>
      </c>
      <c r="C47" s="1"/>
      <c r="D47" s="1"/>
      <c r="E47" s="1"/>
      <c r="F47" s="1"/>
      <c r="H47" s="1">
        <v>2.9</v>
      </c>
      <c r="I47" s="4">
        <f t="shared" ref="I47:I58" si="1">AVERAGE(I32:M32)</f>
        <v>0.83544394</v>
      </c>
      <c r="K47" s="1">
        <v>2.9</v>
      </c>
      <c r="L47">
        <f>B47/I47</f>
        <v>0.57454483421113811</v>
      </c>
    </row>
    <row r="48" spans="1:13" x14ac:dyDescent="0.25">
      <c r="A48" s="1">
        <v>3</v>
      </c>
      <c r="B48" s="1">
        <f t="shared" si="0"/>
        <v>1.3340000000000001</v>
      </c>
      <c r="C48" s="1"/>
      <c r="D48" s="1"/>
      <c r="E48" s="1"/>
      <c r="F48" s="1"/>
      <c r="H48" s="1">
        <v>3</v>
      </c>
      <c r="I48" s="4">
        <f t="shared" si="1"/>
        <v>0.87888462000000001</v>
      </c>
      <c r="K48" s="1">
        <v>3</v>
      </c>
      <c r="L48">
        <f t="shared" ref="L48:L58" si="2">B48/I48</f>
        <v>1.5178329096258392</v>
      </c>
    </row>
    <row r="49" spans="1:12" x14ac:dyDescent="0.25">
      <c r="A49" s="1">
        <v>3.1</v>
      </c>
      <c r="B49" s="1">
        <f t="shared" si="0"/>
        <v>2.4140000000000001</v>
      </c>
      <c r="C49" s="1"/>
      <c r="D49" s="1"/>
      <c r="E49" s="1"/>
      <c r="F49" s="1"/>
      <c r="H49" s="1">
        <v>3.1</v>
      </c>
      <c r="I49" s="4">
        <f t="shared" si="1"/>
        <v>0.91368872000000001</v>
      </c>
      <c r="K49" s="1">
        <v>3.1</v>
      </c>
      <c r="L49">
        <f t="shared" si="2"/>
        <v>2.6420376515100243</v>
      </c>
    </row>
    <row r="50" spans="1:12" x14ac:dyDescent="0.25">
      <c r="A50" s="1">
        <v>3.2</v>
      </c>
      <c r="B50" s="1">
        <f t="shared" si="0"/>
        <v>5.2260000000000009</v>
      </c>
      <c r="C50" s="1"/>
      <c r="D50" s="1"/>
      <c r="E50" s="1"/>
      <c r="F50" s="1"/>
      <c r="H50" s="1">
        <v>3.2</v>
      </c>
      <c r="I50" s="4">
        <f t="shared" si="1"/>
        <v>0.94314332000000012</v>
      </c>
      <c r="K50" s="1">
        <v>3.2</v>
      </c>
      <c r="L50">
        <f t="shared" si="2"/>
        <v>5.5410454478965088</v>
      </c>
    </row>
    <row r="51" spans="1:12" x14ac:dyDescent="0.25">
      <c r="A51" s="1">
        <v>3.3</v>
      </c>
      <c r="B51" s="1">
        <f t="shared" si="0"/>
        <v>8.8139999999999983</v>
      </c>
      <c r="C51" s="1"/>
      <c r="D51" s="1"/>
      <c r="E51" s="1"/>
      <c r="F51" s="1"/>
      <c r="H51" s="1">
        <v>3.3</v>
      </c>
      <c r="I51" s="4">
        <f t="shared" si="1"/>
        <v>0.96795732000000001</v>
      </c>
      <c r="K51" s="1">
        <v>3.3</v>
      </c>
      <c r="L51">
        <f t="shared" si="2"/>
        <v>9.1057733826528615</v>
      </c>
    </row>
    <row r="52" spans="1:12" x14ac:dyDescent="0.25">
      <c r="A52" s="1">
        <v>3.4</v>
      </c>
      <c r="B52" s="1">
        <f t="shared" si="0"/>
        <v>13.946000000000002</v>
      </c>
      <c r="C52" s="1"/>
      <c r="D52" s="1"/>
      <c r="E52" s="1"/>
      <c r="F52" s="1"/>
      <c r="H52" s="1">
        <v>3.4</v>
      </c>
      <c r="I52" s="4">
        <f t="shared" si="1"/>
        <v>0.99006436000000009</v>
      </c>
      <c r="K52" s="1">
        <v>3.4</v>
      </c>
      <c r="L52">
        <f t="shared" si="2"/>
        <v>14.085952957644087</v>
      </c>
    </row>
    <row r="53" spans="1:12" x14ac:dyDescent="0.25">
      <c r="A53" s="1">
        <v>3.5</v>
      </c>
      <c r="B53" s="1">
        <f t="shared" si="0"/>
        <v>20.363999999999997</v>
      </c>
      <c r="C53" s="1"/>
      <c r="D53" s="1"/>
      <c r="E53" s="1"/>
      <c r="F53" s="1"/>
      <c r="H53" s="1">
        <v>3.5</v>
      </c>
      <c r="I53" s="4">
        <f t="shared" si="1"/>
        <v>1.0092711999999999</v>
      </c>
      <c r="K53" s="1">
        <v>3.5</v>
      </c>
      <c r="L53">
        <f t="shared" si="2"/>
        <v>20.176935594714283</v>
      </c>
    </row>
    <row r="54" spans="1:12" x14ac:dyDescent="0.25">
      <c r="A54" s="1">
        <v>3.6</v>
      </c>
      <c r="B54" s="1">
        <f t="shared" si="0"/>
        <v>29.145999999999997</v>
      </c>
      <c r="C54" s="1"/>
      <c r="D54" s="1"/>
      <c r="E54" s="1"/>
      <c r="F54" s="1"/>
      <c r="H54" s="1">
        <v>3.6</v>
      </c>
      <c r="I54" s="4">
        <f t="shared" si="1"/>
        <v>1.0256418</v>
      </c>
      <c r="K54" s="1">
        <v>3.6</v>
      </c>
      <c r="L54">
        <f t="shared" si="2"/>
        <v>28.417328544916945</v>
      </c>
    </row>
    <row r="55" spans="1:12" x14ac:dyDescent="0.25">
      <c r="A55" s="1">
        <v>3.7</v>
      </c>
      <c r="B55" s="1">
        <f t="shared" si="0"/>
        <v>37.284999999999997</v>
      </c>
      <c r="C55" s="1"/>
      <c r="D55" s="1"/>
      <c r="E55" s="1"/>
      <c r="F55" s="1"/>
      <c r="H55" s="1">
        <v>3.7</v>
      </c>
      <c r="I55" s="4">
        <f t="shared" si="1"/>
        <v>1.039499</v>
      </c>
      <c r="K55" s="1">
        <v>3.7</v>
      </c>
      <c r="L55">
        <f t="shared" si="2"/>
        <v>35.868240373487609</v>
      </c>
    </row>
    <row r="56" spans="1:12" x14ac:dyDescent="0.25">
      <c r="A56" s="1">
        <v>3.8</v>
      </c>
      <c r="B56" s="1" t="e">
        <f t="shared" si="0"/>
        <v>#DIV/0!</v>
      </c>
      <c r="C56" s="1"/>
      <c r="D56" s="1"/>
      <c r="E56" s="1"/>
      <c r="F56" s="1"/>
      <c r="H56" s="1">
        <v>3.8</v>
      </c>
      <c r="I56" s="4">
        <f t="shared" si="1"/>
        <v>1.0518738000000001</v>
      </c>
      <c r="K56" s="1">
        <v>3.8</v>
      </c>
      <c r="L56" t="e">
        <f t="shared" si="2"/>
        <v>#DIV/0!</v>
      </c>
    </row>
    <row r="57" spans="1:12" x14ac:dyDescent="0.25">
      <c r="A57" s="1">
        <v>3.9</v>
      </c>
      <c r="B57" s="1" t="e">
        <f t="shared" si="0"/>
        <v>#DIV/0!</v>
      </c>
      <c r="C57" s="1"/>
      <c r="D57" s="1"/>
      <c r="E57" s="1"/>
      <c r="F57" s="1"/>
      <c r="H57" s="1">
        <v>3.9</v>
      </c>
      <c r="I57" s="4">
        <f t="shared" si="1"/>
        <v>1.0620574</v>
      </c>
      <c r="K57" s="1">
        <v>3.9</v>
      </c>
      <c r="L57" t="e">
        <f t="shared" si="2"/>
        <v>#DIV/0!</v>
      </c>
    </row>
    <row r="58" spans="1:12" x14ac:dyDescent="0.25">
      <c r="A58" s="1">
        <v>4</v>
      </c>
      <c r="B58" s="1" t="e">
        <f t="shared" si="0"/>
        <v>#DIV/0!</v>
      </c>
      <c r="C58" s="1"/>
      <c r="D58" s="1"/>
      <c r="E58" s="1"/>
      <c r="F58" s="1"/>
      <c r="H58" s="1">
        <v>4</v>
      </c>
      <c r="I58" s="4">
        <f t="shared" si="1"/>
        <v>1.0703070000000001</v>
      </c>
      <c r="K58" s="1">
        <v>4</v>
      </c>
      <c r="L58" t="e">
        <f t="shared" si="2"/>
        <v>#DIV/0!</v>
      </c>
    </row>
    <row r="59" spans="1:12" x14ac:dyDescent="0.25">
      <c r="A59" s="1"/>
      <c r="B59" s="1"/>
      <c r="C59" s="1"/>
      <c r="D59" s="1"/>
      <c r="E59" s="1"/>
      <c r="F59" s="1"/>
      <c r="H59" s="1"/>
      <c r="I59" s="3"/>
      <c r="K59" s="1"/>
    </row>
  </sheetData>
  <mergeCells count="5">
    <mergeCell ref="A1:F1"/>
    <mergeCell ref="H1:M1"/>
    <mergeCell ref="A45:B45"/>
    <mergeCell ref="K45:L45"/>
    <mergeCell ref="H45:I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47E1-23F5-4300-ABA4-67B797C459AF}">
  <sheetPr>
    <pageSetUpPr fitToPage="1"/>
  </sheetPr>
  <dimension ref="A1:O59"/>
  <sheetViews>
    <sheetView tabSelected="1" topLeftCell="A30" workbookViewId="0">
      <selection activeCell="O58" sqref="O58"/>
    </sheetView>
  </sheetViews>
  <sheetFormatPr baseColWidth="10" defaultRowHeight="15" x14ac:dyDescent="0.25"/>
  <sheetData>
    <row r="1" spans="1:13" x14ac:dyDescent="0.25">
      <c r="A1" s="14" t="s">
        <v>5</v>
      </c>
      <c r="B1" s="14"/>
      <c r="C1" s="14"/>
      <c r="D1" s="14"/>
      <c r="E1" s="14"/>
      <c r="F1" s="14"/>
      <c r="H1" s="15" t="s">
        <v>6</v>
      </c>
      <c r="I1" s="15"/>
      <c r="J1" s="15"/>
      <c r="K1" s="15"/>
      <c r="L1" s="15"/>
      <c r="M1" s="15"/>
    </row>
    <row r="2" spans="1:13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I2" s="2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H3" s="1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25">
      <c r="A4" s="1">
        <v>0.1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0.1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25">
      <c r="A5" s="1">
        <v>0.2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1">
        <v>0.2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25">
      <c r="A6" s="1">
        <v>0.3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H6" s="1">
        <v>0.3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25">
      <c r="A7" s="1">
        <v>0.4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H7" s="1">
        <v>0.4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25">
      <c r="A8" s="1">
        <v>0.5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1">
        <v>0.5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25">
      <c r="A9" s="1">
        <v>0.6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H9" s="1">
        <v>0.6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25">
      <c r="A10" s="1">
        <v>0.7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>
        <v>0.7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 x14ac:dyDescent="0.25">
      <c r="A11" s="1">
        <v>0.8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0.8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25">
      <c r="A12" s="1">
        <v>0.9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v>0.9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 x14ac:dyDescent="0.25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H13" s="1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25">
      <c r="A14" s="1">
        <v>1.1000000000000001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H14" s="1">
        <v>1.1000000000000001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s="1">
        <v>1.2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H15" s="1">
        <v>1.2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25">
      <c r="A16" s="1">
        <v>1.3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H16" s="1">
        <v>1.3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5">
      <c r="A17" s="1">
        <v>1.4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1">
        <v>1.4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s="1">
        <v>1.5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H18" s="1">
        <v>1.5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25">
      <c r="A19" s="1">
        <v>1.6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v>1.6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25">
      <c r="A20" s="1">
        <v>1.7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H20" s="1">
        <v>1.7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1:13" x14ac:dyDescent="0.25">
      <c r="A21" s="1">
        <v>1.8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H21" s="1">
        <v>1.8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25">
      <c r="A22" s="1">
        <v>1.9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H22" s="1">
        <v>1.9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25">
      <c r="A23" s="1">
        <v>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H23" s="1">
        <v>2</v>
      </c>
      <c r="I23" s="4">
        <v>0</v>
      </c>
      <c r="J23" s="4">
        <v>0</v>
      </c>
      <c r="K23" s="4">
        <v>0</v>
      </c>
      <c r="L23" s="4">
        <v>1.329373E-2</v>
      </c>
      <c r="M23" s="4">
        <v>0</v>
      </c>
    </row>
    <row r="24" spans="1:13" x14ac:dyDescent="0.25">
      <c r="A24" s="1">
        <v>2.1</v>
      </c>
      <c r="B24" s="1">
        <v>0.1</v>
      </c>
      <c r="C24" s="1">
        <v>0.25</v>
      </c>
      <c r="D24" s="1">
        <v>0.27</v>
      </c>
      <c r="E24" s="1">
        <v>0.1</v>
      </c>
      <c r="F24" s="1">
        <v>0.27</v>
      </c>
      <c r="H24" s="1">
        <v>2.1</v>
      </c>
      <c r="I24" s="4">
        <v>0.80476479999999995</v>
      </c>
      <c r="J24" s="4">
        <v>0.70969800000000005</v>
      </c>
      <c r="K24" s="4">
        <v>0.74643570000000004</v>
      </c>
      <c r="L24" s="4">
        <v>0.77866170000000001</v>
      </c>
      <c r="M24" s="4">
        <v>0.74740249999999997</v>
      </c>
    </row>
    <row r="25" spans="1:13" x14ac:dyDescent="0.25">
      <c r="A25" s="1">
        <v>2.2000000000000002</v>
      </c>
      <c r="B25" s="1">
        <v>0.34</v>
      </c>
      <c r="C25" s="1">
        <v>0.53</v>
      </c>
      <c r="D25" s="1">
        <v>0.56999999999999995</v>
      </c>
      <c r="E25" s="1">
        <v>0.28999999999999998</v>
      </c>
      <c r="F25" s="1">
        <v>0.55000000000000004</v>
      </c>
      <c r="H25" s="1">
        <v>2.2000000000000002</v>
      </c>
      <c r="I25" s="4">
        <v>0.84601409999999999</v>
      </c>
      <c r="J25" s="4">
        <v>0.83827980000000002</v>
      </c>
      <c r="K25" s="4">
        <v>0.83666850000000004</v>
      </c>
      <c r="L25" s="4">
        <v>0.83570169999999999</v>
      </c>
      <c r="M25" s="4">
        <v>0.83570169999999999</v>
      </c>
    </row>
    <row r="26" spans="1:13" x14ac:dyDescent="0.25">
      <c r="A26" s="1">
        <v>2.2999999999999998</v>
      </c>
      <c r="B26" s="1">
        <v>0.77</v>
      </c>
      <c r="C26" s="1">
        <v>0.92</v>
      </c>
      <c r="D26" s="1">
        <v>1</v>
      </c>
      <c r="E26" s="1">
        <v>0.67</v>
      </c>
      <c r="F26" s="1">
        <v>0.94</v>
      </c>
      <c r="H26" s="1">
        <v>2.2999999999999998</v>
      </c>
      <c r="I26" s="4">
        <v>0.87115039999999999</v>
      </c>
      <c r="J26" s="4">
        <v>0.86341610000000002</v>
      </c>
      <c r="K26" s="4">
        <v>0.86019350000000006</v>
      </c>
      <c r="L26" s="4">
        <v>0.86019350000000006</v>
      </c>
      <c r="M26" s="4">
        <v>0.85987130000000001</v>
      </c>
    </row>
    <row r="27" spans="1:13" x14ac:dyDescent="0.25">
      <c r="A27" s="1">
        <v>2.4</v>
      </c>
      <c r="B27" s="1">
        <v>1.2</v>
      </c>
      <c r="C27" s="1">
        <v>1.39</v>
      </c>
      <c r="D27" s="1">
        <v>1.34</v>
      </c>
      <c r="E27" s="1">
        <v>1.1100000000000001</v>
      </c>
      <c r="F27" s="1">
        <v>1.55</v>
      </c>
      <c r="H27" s="1">
        <v>2.4</v>
      </c>
      <c r="I27" s="4">
        <v>0.89080820000000005</v>
      </c>
      <c r="J27" s="4">
        <v>0.8808182</v>
      </c>
      <c r="K27" s="4">
        <v>0.87824009999999997</v>
      </c>
      <c r="L27" s="4">
        <v>0.87824009999999997</v>
      </c>
      <c r="M27" s="4">
        <v>0.87888460000000002</v>
      </c>
    </row>
    <row r="28" spans="1:13" x14ac:dyDescent="0.25">
      <c r="A28" s="1">
        <v>2.5</v>
      </c>
      <c r="B28" s="1">
        <v>1.91</v>
      </c>
      <c r="C28" s="1">
        <v>1.97</v>
      </c>
      <c r="D28" s="1">
        <v>1.72</v>
      </c>
      <c r="E28" s="1">
        <v>1.83</v>
      </c>
      <c r="F28" s="1">
        <v>2.33</v>
      </c>
      <c r="H28" s="1">
        <v>2.5</v>
      </c>
      <c r="I28" s="4">
        <v>0.90627670000000005</v>
      </c>
      <c r="J28" s="4">
        <v>0.89628669999999999</v>
      </c>
      <c r="K28" s="4">
        <v>0.89370859999999996</v>
      </c>
      <c r="L28" s="4">
        <v>0.89435310000000001</v>
      </c>
      <c r="M28" s="4">
        <v>0.89435310000000001</v>
      </c>
    </row>
    <row r="29" spans="1:13" x14ac:dyDescent="0.25">
      <c r="A29" s="1">
        <v>2.6</v>
      </c>
      <c r="B29" s="1">
        <v>2.6</v>
      </c>
      <c r="C29" s="1">
        <v>2.64</v>
      </c>
      <c r="D29" s="1">
        <v>2.46</v>
      </c>
      <c r="E29" s="1">
        <v>2.52</v>
      </c>
      <c r="F29" s="1">
        <v>3.16</v>
      </c>
      <c r="H29" s="1">
        <v>2.6</v>
      </c>
      <c r="I29" s="4">
        <v>0.91948940000000001</v>
      </c>
      <c r="J29" s="4">
        <v>0.90917709999999996</v>
      </c>
      <c r="K29" s="4">
        <v>0.90724349999999998</v>
      </c>
      <c r="L29" s="4">
        <v>0.90659900000000004</v>
      </c>
      <c r="M29" s="4">
        <v>0.90692119999999998</v>
      </c>
    </row>
    <row r="30" spans="1:13" x14ac:dyDescent="0.25">
      <c r="A30" s="1">
        <v>2.7</v>
      </c>
      <c r="B30" s="1">
        <v>3.39</v>
      </c>
      <c r="C30" s="1">
        <v>3.41</v>
      </c>
      <c r="D30" s="1">
        <v>3.29</v>
      </c>
      <c r="E30" s="1">
        <v>3.3</v>
      </c>
      <c r="F30" s="1">
        <v>4.08</v>
      </c>
      <c r="H30" s="1">
        <v>2.7</v>
      </c>
      <c r="I30" s="4">
        <v>0.93173530000000004</v>
      </c>
      <c r="J30" s="4">
        <v>0.91916710000000001</v>
      </c>
      <c r="K30" s="4">
        <v>0.91658910000000005</v>
      </c>
      <c r="L30" s="4">
        <v>0.91755580000000003</v>
      </c>
      <c r="M30" s="4">
        <v>0.91787810000000003</v>
      </c>
    </row>
    <row r="31" spans="1:13" x14ac:dyDescent="0.25">
      <c r="A31" s="1">
        <v>2.8</v>
      </c>
      <c r="B31" s="1">
        <v>4.3</v>
      </c>
      <c r="C31" s="1">
        <v>4.38</v>
      </c>
      <c r="D31" s="1">
        <v>4.2</v>
      </c>
      <c r="E31" s="1">
        <v>4.18</v>
      </c>
      <c r="F31" s="1">
        <v>5.05</v>
      </c>
      <c r="H31" s="1">
        <v>2.8</v>
      </c>
      <c r="I31" s="4">
        <v>0.94172540000000005</v>
      </c>
      <c r="J31" s="4">
        <v>0.9304462</v>
      </c>
      <c r="K31" s="4">
        <v>0.92754590000000003</v>
      </c>
      <c r="L31" s="4">
        <v>0.92754590000000003</v>
      </c>
      <c r="M31" s="4">
        <v>0.92754590000000003</v>
      </c>
    </row>
    <row r="32" spans="1:13" x14ac:dyDescent="0.25">
      <c r="A32" s="1">
        <v>2.9</v>
      </c>
      <c r="B32" s="1">
        <v>5.31</v>
      </c>
      <c r="C32" s="1">
        <v>5.68</v>
      </c>
      <c r="D32" s="1">
        <v>5.21</v>
      </c>
      <c r="E32" s="1">
        <v>5.16</v>
      </c>
      <c r="F32" s="1">
        <v>6.09</v>
      </c>
      <c r="H32" s="1">
        <v>2.9</v>
      </c>
      <c r="I32" s="4">
        <v>0.95203769999999999</v>
      </c>
      <c r="J32" s="4">
        <v>0.93850270000000002</v>
      </c>
      <c r="K32" s="4">
        <v>0.93656919999999999</v>
      </c>
      <c r="L32" s="4">
        <v>0.93656919999999999</v>
      </c>
      <c r="M32" s="4">
        <v>0.93560239999999995</v>
      </c>
    </row>
    <row r="33" spans="1:15" x14ac:dyDescent="0.25">
      <c r="A33" s="1">
        <v>3</v>
      </c>
      <c r="B33" s="1">
        <v>6.43</v>
      </c>
      <c r="C33" s="1">
        <v>7.19</v>
      </c>
      <c r="D33" s="1">
        <v>6.31</v>
      </c>
      <c r="E33" s="1">
        <v>6.22</v>
      </c>
      <c r="F33" s="1">
        <v>7.18</v>
      </c>
      <c r="H33" s="1">
        <v>3</v>
      </c>
      <c r="I33" s="4">
        <v>0.96009420000000001</v>
      </c>
      <c r="J33" s="4">
        <v>0.9459147</v>
      </c>
      <c r="K33" s="4">
        <v>0.94398119999999996</v>
      </c>
      <c r="L33" s="4">
        <v>0.94430340000000001</v>
      </c>
      <c r="M33" s="4">
        <v>0.94365889999999997</v>
      </c>
    </row>
    <row r="34" spans="1:15" x14ac:dyDescent="0.25">
      <c r="A34" s="1">
        <v>3.1</v>
      </c>
      <c r="B34" s="1">
        <v>7.62</v>
      </c>
      <c r="C34" s="1">
        <v>8.67</v>
      </c>
      <c r="D34" s="1">
        <v>7.48</v>
      </c>
      <c r="E34" s="1">
        <v>7.35</v>
      </c>
      <c r="F34" s="1">
        <v>8.23</v>
      </c>
      <c r="H34" s="1">
        <v>3.1</v>
      </c>
      <c r="I34" s="4">
        <v>0.96815070000000003</v>
      </c>
      <c r="J34" s="4">
        <v>0.95332669999999997</v>
      </c>
      <c r="K34" s="4">
        <v>0.95139320000000005</v>
      </c>
      <c r="L34" s="4">
        <v>0.95139320000000005</v>
      </c>
      <c r="M34" s="4">
        <v>0.95171539999999999</v>
      </c>
    </row>
    <row r="35" spans="1:15" x14ac:dyDescent="0.25">
      <c r="A35" s="1">
        <v>3.2</v>
      </c>
      <c r="B35" s="1">
        <v>9.11</v>
      </c>
      <c r="C35" s="1">
        <v>10.029999999999999</v>
      </c>
      <c r="D35" s="1">
        <v>8.73</v>
      </c>
      <c r="E35" s="1">
        <v>8.5500000000000007</v>
      </c>
      <c r="F35" s="1">
        <v>9.31</v>
      </c>
      <c r="H35" s="1">
        <v>3.2</v>
      </c>
      <c r="I35" s="4">
        <v>0.97362910000000003</v>
      </c>
      <c r="J35" s="4">
        <v>0.95977190000000001</v>
      </c>
      <c r="K35" s="4">
        <v>0.95719379999999998</v>
      </c>
      <c r="L35" s="4">
        <v>0.95751609999999998</v>
      </c>
      <c r="M35" s="4">
        <v>0.95848290000000003</v>
      </c>
    </row>
    <row r="36" spans="1:15" x14ac:dyDescent="0.25">
      <c r="A36" s="1">
        <v>3.3</v>
      </c>
      <c r="B36" s="1">
        <v>10.82</v>
      </c>
      <c r="C36" s="1">
        <v>10.17</v>
      </c>
      <c r="D36" s="1">
        <v>10.029999999999999</v>
      </c>
      <c r="E36" s="1">
        <v>10.51</v>
      </c>
      <c r="F36" s="1">
        <v>10.42</v>
      </c>
      <c r="H36" s="1">
        <v>3.3</v>
      </c>
      <c r="I36" s="4">
        <v>0.97201780000000004</v>
      </c>
      <c r="J36" s="4">
        <v>0.96492809999999996</v>
      </c>
      <c r="K36" s="4">
        <v>0.96396130000000002</v>
      </c>
      <c r="L36" s="4">
        <v>0.96396130000000002</v>
      </c>
      <c r="M36" s="4">
        <v>0.96396130000000002</v>
      </c>
    </row>
    <row r="37" spans="1:15" x14ac:dyDescent="0.25">
      <c r="A37" s="1">
        <v>3.4</v>
      </c>
      <c r="B37" s="1">
        <v>12</v>
      </c>
      <c r="C37" s="1">
        <v>11.71</v>
      </c>
      <c r="D37" s="1">
        <v>11.07</v>
      </c>
      <c r="E37" s="1">
        <v>11.22</v>
      </c>
      <c r="F37" s="1">
        <v>11.86</v>
      </c>
      <c r="H37" s="1">
        <v>3.4</v>
      </c>
      <c r="I37" s="4">
        <v>0.97781850000000003</v>
      </c>
      <c r="J37" s="4">
        <v>0.96815070000000003</v>
      </c>
      <c r="K37" s="4">
        <v>0.96911749999999997</v>
      </c>
      <c r="L37" s="4">
        <v>0.96911749999999997</v>
      </c>
      <c r="M37" s="4">
        <v>0.96976200000000001</v>
      </c>
    </row>
    <row r="38" spans="1:15" x14ac:dyDescent="0.25">
      <c r="A38" s="1">
        <v>3.5</v>
      </c>
      <c r="B38" s="1">
        <v>13.63</v>
      </c>
      <c r="C38" s="1">
        <v>13.78</v>
      </c>
      <c r="D38" s="1">
        <v>12.49</v>
      </c>
      <c r="E38" s="1">
        <v>12.78</v>
      </c>
      <c r="F38" s="1">
        <v>12.56</v>
      </c>
      <c r="H38" s="1">
        <v>3.5</v>
      </c>
      <c r="I38" s="4">
        <v>0.98877530000000002</v>
      </c>
      <c r="J38" s="4">
        <v>0.97266229999999998</v>
      </c>
      <c r="K38" s="4">
        <v>0.97427359999999996</v>
      </c>
      <c r="L38" s="4">
        <v>0.97427359999999996</v>
      </c>
      <c r="M38" s="4">
        <v>0.97524040000000001</v>
      </c>
    </row>
    <row r="39" spans="1:15" x14ac:dyDescent="0.25">
      <c r="A39" s="1"/>
      <c r="B39" s="1"/>
      <c r="C39" s="1"/>
      <c r="D39" s="1"/>
      <c r="E39" s="1"/>
      <c r="F39" s="1"/>
      <c r="I39" s="3"/>
    </row>
    <row r="40" spans="1:15" x14ac:dyDescent="0.25">
      <c r="A40" s="15" t="s">
        <v>8</v>
      </c>
      <c r="B40" s="15"/>
      <c r="C40" s="1"/>
      <c r="D40" s="1"/>
      <c r="E40" s="1"/>
      <c r="F40" s="1"/>
      <c r="H40" s="15" t="s">
        <v>9</v>
      </c>
      <c r="I40" s="15"/>
      <c r="K40" s="15" t="s">
        <v>7</v>
      </c>
      <c r="L40" s="15"/>
      <c r="N40" s="13"/>
      <c r="O40" s="13"/>
    </row>
    <row r="41" spans="1:15" x14ac:dyDescent="0.25">
      <c r="A41" s="5">
        <v>2.1</v>
      </c>
      <c r="B41" s="7">
        <f t="shared" ref="B41:B55" si="0">AVERAGE(B24:F24)</f>
        <v>0.19800000000000001</v>
      </c>
      <c r="C41" s="5"/>
      <c r="D41" s="5"/>
      <c r="E41" s="5"/>
      <c r="F41" s="5"/>
      <c r="G41" s="5"/>
      <c r="H41" s="5">
        <v>2.1</v>
      </c>
      <c r="I41" s="6">
        <f t="shared" ref="I41:I55" si="1">AVERAGE(I24:M24)</f>
        <v>0.75739254</v>
      </c>
      <c r="J41" s="5"/>
      <c r="K41" s="8">
        <v>2.1</v>
      </c>
      <c r="L41" s="6">
        <f>B41/I41</f>
        <v>0.26142322447485422</v>
      </c>
      <c r="N41" s="12"/>
      <c r="O41" s="12"/>
    </row>
    <row r="42" spans="1:15" x14ac:dyDescent="0.25">
      <c r="A42" s="5">
        <v>2.2000000000000002</v>
      </c>
      <c r="B42" s="7">
        <f t="shared" si="0"/>
        <v>0.45600000000000007</v>
      </c>
      <c r="C42" s="5"/>
      <c r="D42" s="5"/>
      <c r="E42" s="5"/>
      <c r="F42" s="5"/>
      <c r="G42" s="5"/>
      <c r="H42" s="5">
        <v>2.2000000000000002</v>
      </c>
      <c r="I42" s="6">
        <f t="shared" si="1"/>
        <v>0.83847316000000005</v>
      </c>
      <c r="J42" s="5"/>
      <c r="K42" s="5">
        <v>2.2000000000000002</v>
      </c>
      <c r="L42" s="6">
        <f t="shared" ref="L42:L55" si="2">B42/I42</f>
        <v>0.54384567300878184</v>
      </c>
    </row>
    <row r="43" spans="1:15" x14ac:dyDescent="0.25">
      <c r="A43" s="5">
        <v>2.2999999999999998</v>
      </c>
      <c r="B43" s="7">
        <f t="shared" si="0"/>
        <v>0.86</v>
      </c>
      <c r="C43" s="5"/>
      <c r="D43" s="5"/>
      <c r="E43" s="5"/>
      <c r="F43" s="5"/>
      <c r="G43" s="5"/>
      <c r="H43" s="5">
        <v>2.2999999999999998</v>
      </c>
      <c r="I43" s="6">
        <f t="shared" si="1"/>
        <v>0.86296496</v>
      </c>
      <c r="J43" s="5"/>
      <c r="K43" s="5">
        <v>2.2999999999999998</v>
      </c>
      <c r="L43" s="6">
        <f t="shared" si="2"/>
        <v>0.99656421739302137</v>
      </c>
    </row>
    <row r="44" spans="1:15" x14ac:dyDescent="0.25">
      <c r="A44" s="5">
        <v>2.4</v>
      </c>
      <c r="B44" s="7">
        <f t="shared" si="0"/>
        <v>1.3180000000000001</v>
      </c>
      <c r="C44" s="5"/>
      <c r="D44" s="5"/>
      <c r="E44" s="5"/>
      <c r="F44" s="5"/>
      <c r="G44" s="5"/>
      <c r="H44" s="5">
        <v>2.4</v>
      </c>
      <c r="I44" s="6">
        <f t="shared" si="1"/>
        <v>0.88139824</v>
      </c>
      <c r="J44" s="5"/>
      <c r="K44" s="5">
        <v>2.4</v>
      </c>
      <c r="L44" s="6">
        <f t="shared" si="2"/>
        <v>1.495351295459814</v>
      </c>
    </row>
    <row r="45" spans="1:15" x14ac:dyDescent="0.25">
      <c r="A45" s="5">
        <v>2.5</v>
      </c>
      <c r="B45" s="7">
        <f t="shared" si="0"/>
        <v>1.952</v>
      </c>
      <c r="C45" s="5"/>
      <c r="D45" s="5"/>
      <c r="E45" s="5"/>
      <c r="F45" s="5"/>
      <c r="G45" s="5"/>
      <c r="H45" s="5">
        <v>2.5</v>
      </c>
      <c r="I45" s="6">
        <f t="shared" si="1"/>
        <v>0.89699564000000009</v>
      </c>
      <c r="J45" s="5"/>
      <c r="K45" s="5">
        <v>2.5</v>
      </c>
      <c r="L45" s="6">
        <f t="shared" si="2"/>
        <v>2.1761532753938466</v>
      </c>
    </row>
    <row r="46" spans="1:15" x14ac:dyDescent="0.25">
      <c r="A46" s="5">
        <v>2.6</v>
      </c>
      <c r="B46" s="7">
        <f t="shared" si="0"/>
        <v>2.6760000000000002</v>
      </c>
      <c r="C46" s="5"/>
      <c r="D46" s="5"/>
      <c r="E46" s="5"/>
      <c r="F46" s="5"/>
      <c r="G46" s="5"/>
      <c r="H46" s="5">
        <v>2.6</v>
      </c>
      <c r="I46" s="6">
        <f t="shared" si="1"/>
        <v>0.90988603999999995</v>
      </c>
      <c r="J46" s="5"/>
      <c r="K46" s="5">
        <v>2.6</v>
      </c>
      <c r="L46" s="6">
        <f t="shared" si="2"/>
        <v>2.9410276478140056</v>
      </c>
    </row>
    <row r="47" spans="1:15" x14ac:dyDescent="0.25">
      <c r="A47" s="5">
        <v>2.7</v>
      </c>
      <c r="B47" s="7">
        <f t="shared" si="0"/>
        <v>3.4939999999999998</v>
      </c>
      <c r="C47" s="5"/>
      <c r="D47" s="5"/>
      <c r="E47" s="5"/>
      <c r="F47" s="5"/>
      <c r="G47" s="5"/>
      <c r="H47" s="5">
        <v>2.7</v>
      </c>
      <c r="I47" s="6">
        <f t="shared" si="1"/>
        <v>0.92058508000000006</v>
      </c>
      <c r="J47" s="5"/>
      <c r="K47" s="5">
        <v>2.7</v>
      </c>
      <c r="L47" s="6">
        <f t="shared" si="2"/>
        <v>3.7954123697073165</v>
      </c>
    </row>
    <row r="48" spans="1:15" x14ac:dyDescent="0.25">
      <c r="A48" s="5">
        <v>2.8</v>
      </c>
      <c r="B48" s="7">
        <f t="shared" si="0"/>
        <v>4.4219999999999997</v>
      </c>
      <c r="C48" s="5"/>
      <c r="D48" s="5"/>
      <c r="E48" s="5"/>
      <c r="F48" s="5"/>
      <c r="G48" s="5"/>
      <c r="H48" s="5">
        <v>2.8</v>
      </c>
      <c r="I48" s="6">
        <f t="shared" si="1"/>
        <v>0.93096186000000003</v>
      </c>
      <c r="J48" s="5"/>
      <c r="K48" s="5">
        <v>2.8</v>
      </c>
      <c r="L48" s="6">
        <f t="shared" si="2"/>
        <v>4.7499260603436531</v>
      </c>
    </row>
    <row r="49" spans="1:12" x14ac:dyDescent="0.25">
      <c r="A49" s="5">
        <v>2.9</v>
      </c>
      <c r="B49" s="7">
        <f t="shared" si="0"/>
        <v>5.49</v>
      </c>
      <c r="C49" s="5"/>
      <c r="D49" s="5"/>
      <c r="E49" s="5"/>
      <c r="F49" s="5"/>
      <c r="G49" s="5"/>
      <c r="H49" s="5">
        <v>2.9</v>
      </c>
      <c r="I49" s="6">
        <f t="shared" si="1"/>
        <v>0.9398562399999999</v>
      </c>
      <c r="J49" s="5"/>
      <c r="K49" s="5">
        <v>2.9</v>
      </c>
      <c r="L49" s="6">
        <f t="shared" si="2"/>
        <v>5.8413188808535237</v>
      </c>
    </row>
    <row r="50" spans="1:12" x14ac:dyDescent="0.25">
      <c r="A50" s="5">
        <v>3</v>
      </c>
      <c r="B50" s="7">
        <f t="shared" si="0"/>
        <v>6.6659999999999995</v>
      </c>
      <c r="C50" s="5"/>
      <c r="D50" s="5"/>
      <c r="E50" s="5"/>
      <c r="F50" s="5"/>
      <c r="G50" s="5"/>
      <c r="H50" s="5">
        <v>3</v>
      </c>
      <c r="I50" s="6">
        <f t="shared" si="1"/>
        <v>0.9475904799999999</v>
      </c>
      <c r="J50" s="5"/>
      <c r="K50" s="5">
        <v>3</v>
      </c>
      <c r="L50" s="6">
        <f t="shared" si="2"/>
        <v>7.0346844345671355</v>
      </c>
    </row>
    <row r="51" spans="1:12" x14ac:dyDescent="0.25">
      <c r="A51" s="5">
        <v>3.1</v>
      </c>
      <c r="B51" s="7">
        <f t="shared" si="0"/>
        <v>7.8699999999999992</v>
      </c>
      <c r="C51" s="5"/>
      <c r="D51" s="5"/>
      <c r="E51" s="5"/>
      <c r="F51" s="5"/>
      <c r="G51" s="5"/>
      <c r="H51" s="5">
        <v>3.1</v>
      </c>
      <c r="I51" s="6">
        <f t="shared" si="1"/>
        <v>0.95519584000000002</v>
      </c>
      <c r="J51" s="5"/>
      <c r="K51" s="5">
        <v>3.1</v>
      </c>
      <c r="L51" s="6">
        <f t="shared" si="2"/>
        <v>8.2391481101927742</v>
      </c>
    </row>
    <row r="52" spans="1:12" x14ac:dyDescent="0.25">
      <c r="A52" s="5">
        <v>3.2</v>
      </c>
      <c r="B52" s="7">
        <f t="shared" si="0"/>
        <v>9.1460000000000008</v>
      </c>
      <c r="C52" s="5"/>
      <c r="D52" s="5"/>
      <c r="E52" s="5"/>
      <c r="F52" s="5"/>
      <c r="G52" s="5"/>
      <c r="H52" s="5">
        <v>3.2</v>
      </c>
      <c r="I52" s="6">
        <f t="shared" si="1"/>
        <v>0.96131875999999994</v>
      </c>
      <c r="J52" s="5"/>
      <c r="K52" s="5">
        <v>3.2</v>
      </c>
      <c r="L52" s="6">
        <f t="shared" si="2"/>
        <v>9.5140138532197174</v>
      </c>
    </row>
    <row r="53" spans="1:12" x14ac:dyDescent="0.25">
      <c r="A53" s="5">
        <v>3.3</v>
      </c>
      <c r="B53" s="7">
        <f t="shared" si="0"/>
        <v>10.39</v>
      </c>
      <c r="C53" s="5"/>
      <c r="D53" s="5"/>
      <c r="E53" s="5"/>
      <c r="F53" s="5"/>
      <c r="G53" s="5"/>
      <c r="H53" s="5">
        <v>3.3</v>
      </c>
      <c r="I53" s="6">
        <f t="shared" si="1"/>
        <v>0.96576596000000003</v>
      </c>
      <c r="J53" s="5"/>
      <c r="K53" s="5">
        <v>3.3</v>
      </c>
      <c r="L53" s="6">
        <f t="shared" si="2"/>
        <v>10.758300075103081</v>
      </c>
    </row>
    <row r="54" spans="1:12" x14ac:dyDescent="0.25">
      <c r="A54" s="5">
        <v>3.4</v>
      </c>
      <c r="B54" s="7">
        <f t="shared" si="0"/>
        <v>11.571999999999999</v>
      </c>
      <c r="C54" s="5"/>
      <c r="D54" s="5"/>
      <c r="E54" s="5"/>
      <c r="F54" s="5"/>
      <c r="G54" s="5"/>
      <c r="H54" s="5">
        <v>3.4</v>
      </c>
      <c r="I54" s="6">
        <f t="shared" si="1"/>
        <v>0.97079323999999989</v>
      </c>
      <c r="J54" s="5"/>
      <c r="K54" s="5">
        <v>3.4</v>
      </c>
      <c r="L54" s="6">
        <f t="shared" si="2"/>
        <v>11.920148928931562</v>
      </c>
    </row>
    <row r="55" spans="1:12" x14ac:dyDescent="0.25">
      <c r="A55" s="5">
        <v>3.5</v>
      </c>
      <c r="B55" s="7">
        <f t="shared" si="0"/>
        <v>13.047999999999998</v>
      </c>
      <c r="C55" s="5"/>
      <c r="D55" s="5"/>
      <c r="E55" s="5"/>
      <c r="F55" s="5"/>
      <c r="G55" s="5"/>
      <c r="H55" s="5">
        <v>3.5</v>
      </c>
      <c r="I55" s="6">
        <f t="shared" si="1"/>
        <v>0.97704503999999992</v>
      </c>
      <c r="J55" s="5"/>
      <c r="K55" s="5">
        <v>3.5</v>
      </c>
      <c r="L55" s="6">
        <f t="shared" si="2"/>
        <v>13.354553235334985</v>
      </c>
    </row>
    <row r="56" spans="1:12" x14ac:dyDescent="0.25">
      <c r="A56" s="1"/>
      <c r="B56" s="1"/>
      <c r="C56" s="1"/>
      <c r="D56" s="1"/>
      <c r="E56" s="1"/>
      <c r="F56" s="1"/>
    </row>
    <row r="57" spans="1:12" x14ac:dyDescent="0.25">
      <c r="A57" s="1"/>
      <c r="B57" s="1"/>
      <c r="C57" s="1"/>
      <c r="D57" s="1"/>
      <c r="E57" s="1"/>
      <c r="F57" s="1"/>
    </row>
    <row r="58" spans="1:12" x14ac:dyDescent="0.25">
      <c r="A58" s="1"/>
      <c r="B58" s="1"/>
      <c r="C58" s="1"/>
      <c r="D58" s="1"/>
      <c r="E58" s="1"/>
      <c r="F58" s="1"/>
    </row>
    <row r="59" spans="1:12" x14ac:dyDescent="0.25">
      <c r="A59" s="1"/>
      <c r="B59" s="1"/>
      <c r="C59" s="1"/>
      <c r="D59" s="1"/>
      <c r="E59" s="1"/>
      <c r="F59" s="1"/>
    </row>
  </sheetData>
  <mergeCells count="7">
    <mergeCell ref="N41:O41"/>
    <mergeCell ref="N40:O40"/>
    <mergeCell ref="A1:F1"/>
    <mergeCell ref="H1:M1"/>
    <mergeCell ref="A40:B40"/>
    <mergeCell ref="H40:I40"/>
    <mergeCell ref="K40:L40"/>
  </mergeCells>
  <pageMargins left="0.7" right="0.7" top="0.75" bottom="0.75" header="0.3" footer="0.3"/>
  <pageSetup scale="7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A845-EF61-42A2-AE0C-ACFE05A30A5B}">
  <dimension ref="A1:M58"/>
  <sheetViews>
    <sheetView topLeftCell="A40" workbookViewId="0">
      <selection activeCell="H44" sqref="H44"/>
    </sheetView>
  </sheetViews>
  <sheetFormatPr baseColWidth="10" defaultRowHeight="15" x14ac:dyDescent="0.25"/>
  <cols>
    <col min="1" max="1" width="11.5703125" style="1"/>
    <col min="2" max="2" width="13.5703125" style="1" bestFit="1" customWidth="1"/>
    <col min="3" max="6" width="11.5703125" style="1"/>
    <col min="9" max="9" width="11.5703125" style="3"/>
  </cols>
  <sheetData>
    <row r="1" spans="1:13" x14ac:dyDescent="0.25">
      <c r="A1" s="16" t="s">
        <v>5</v>
      </c>
      <c r="B1" s="16"/>
      <c r="C1" s="16"/>
      <c r="D1" s="16"/>
      <c r="E1" s="16"/>
      <c r="F1" s="16"/>
      <c r="H1" s="16" t="s">
        <v>6</v>
      </c>
      <c r="I1" s="16"/>
      <c r="J1" s="16"/>
      <c r="K1" s="16"/>
      <c r="L1" s="16"/>
      <c r="M1" s="16"/>
    </row>
    <row r="2" spans="1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I2" s="2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H3" s="1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25">
      <c r="A4" s="1">
        <v>0.1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0.1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25">
      <c r="A5" s="1">
        <v>0.2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1">
        <v>0.2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25">
      <c r="A6" s="1">
        <v>0.3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H6" s="1">
        <v>0.3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25">
      <c r="A7" s="1">
        <v>0.4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H7" s="1">
        <v>0.4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25">
      <c r="A8" s="1">
        <v>0.5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1">
        <v>0.5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25">
      <c r="A9" s="1">
        <v>0.6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H9" s="1">
        <v>0.6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25">
      <c r="A10" s="1">
        <v>0.7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>
        <v>0.7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 x14ac:dyDescent="0.25">
      <c r="A11" s="1">
        <v>0.8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0.8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25">
      <c r="A12" s="1">
        <v>0.9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v>0.9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 x14ac:dyDescent="0.25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H13" s="1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25">
      <c r="A14" s="1">
        <v>1.1000000000000001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H14" s="1">
        <v>1.1000000000000001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s="1">
        <v>1.2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H15" s="1">
        <v>1.2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25">
      <c r="A16" s="1">
        <v>1.3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H16" s="1">
        <v>1.3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5">
      <c r="A17" s="1">
        <v>1.4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1">
        <v>1.4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s="1">
        <v>1.5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H18" s="1">
        <v>1.5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25">
      <c r="A19" s="1">
        <v>1.6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v>1.6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25">
      <c r="A20" s="1">
        <v>1.7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H20" s="1">
        <v>1.7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1:13" x14ac:dyDescent="0.25">
      <c r="A21" s="1">
        <v>1.8</v>
      </c>
      <c r="B21" s="1">
        <v>0.15</v>
      </c>
      <c r="C21" s="1">
        <v>0.41</v>
      </c>
      <c r="D21" s="1">
        <v>0.14000000000000001</v>
      </c>
      <c r="E21" s="1">
        <v>0.17</v>
      </c>
      <c r="F21" s="1">
        <v>0.69</v>
      </c>
      <c r="H21" s="1">
        <v>1.8</v>
      </c>
      <c r="I21" s="4">
        <v>0.67489390000000005</v>
      </c>
      <c r="J21" s="4">
        <v>0.81249899999999997</v>
      </c>
      <c r="K21" s="4">
        <v>0.76996070000000005</v>
      </c>
      <c r="L21" s="4">
        <v>0.79445239999999995</v>
      </c>
      <c r="M21" s="4">
        <v>0.80379800000000001</v>
      </c>
    </row>
    <row r="22" spans="1:13" x14ac:dyDescent="0.25">
      <c r="A22" s="1">
        <v>1.9</v>
      </c>
      <c r="B22" s="1">
        <v>1.27</v>
      </c>
      <c r="C22" s="1">
        <v>2.1800000000000002</v>
      </c>
      <c r="D22" s="1">
        <v>1.01</v>
      </c>
      <c r="E22" s="1">
        <v>1.45</v>
      </c>
      <c r="F22" s="1">
        <v>2.4300000000000002</v>
      </c>
      <c r="H22" s="1">
        <v>1.9</v>
      </c>
      <c r="I22" s="4">
        <v>0.92238969999999998</v>
      </c>
      <c r="J22" s="4">
        <v>0.92367880000000002</v>
      </c>
      <c r="K22" s="4">
        <v>0.92367880000000002</v>
      </c>
      <c r="L22" s="4">
        <v>0.92335650000000002</v>
      </c>
      <c r="M22" s="4">
        <v>0.92400099999999996</v>
      </c>
    </row>
    <row r="23" spans="1:13" x14ac:dyDescent="0.25">
      <c r="A23" s="1">
        <v>2</v>
      </c>
      <c r="B23" s="1">
        <v>3.02</v>
      </c>
      <c r="C23" s="1">
        <v>4.0199999999999996</v>
      </c>
      <c r="D23" s="1">
        <v>2.78</v>
      </c>
      <c r="E23" s="1">
        <v>3.03</v>
      </c>
      <c r="F23" s="1">
        <v>4.29</v>
      </c>
      <c r="H23" s="1">
        <v>2</v>
      </c>
      <c r="I23" s="4">
        <v>0.97072879999999995</v>
      </c>
      <c r="J23" s="4">
        <v>0.97040649999999995</v>
      </c>
      <c r="K23" s="4">
        <v>0.97008419999999995</v>
      </c>
      <c r="L23" s="4">
        <v>0.971051</v>
      </c>
      <c r="M23" s="4">
        <v>0.97040649999999995</v>
      </c>
    </row>
    <row r="24" spans="1:13" x14ac:dyDescent="0.25">
      <c r="A24" s="1">
        <v>2.1</v>
      </c>
      <c r="B24" s="1">
        <v>6.58</v>
      </c>
      <c r="C24" s="1">
        <v>7.12</v>
      </c>
      <c r="D24" s="1">
        <v>4.91</v>
      </c>
      <c r="E24" s="1">
        <v>6.49</v>
      </c>
      <c r="F24" s="1">
        <v>6.86</v>
      </c>
      <c r="H24" s="1">
        <v>2.1</v>
      </c>
      <c r="I24" s="4">
        <v>0.99779859999999998</v>
      </c>
      <c r="J24" s="4">
        <v>0.9965096</v>
      </c>
      <c r="K24" s="4">
        <v>0.99683180000000005</v>
      </c>
      <c r="L24" s="4">
        <v>0.99683180000000005</v>
      </c>
      <c r="M24" s="4">
        <v>0.9965096</v>
      </c>
    </row>
    <row r="25" spans="1:13" x14ac:dyDescent="0.25">
      <c r="A25" s="1">
        <v>2.2000000000000002</v>
      </c>
      <c r="B25" s="1">
        <v>8.91</v>
      </c>
      <c r="C25" s="1">
        <v>9.23</v>
      </c>
      <c r="D25" s="1">
        <v>7.06</v>
      </c>
      <c r="E25" s="1">
        <v>8.65</v>
      </c>
      <c r="F25" s="1">
        <v>8.7899999999999991</v>
      </c>
      <c r="H25" s="1">
        <v>2.2000000000000002</v>
      </c>
      <c r="I25" s="4">
        <v>1.014556</v>
      </c>
      <c r="J25" s="4">
        <v>1.0126230000000001</v>
      </c>
      <c r="K25" s="4">
        <v>1.012945</v>
      </c>
      <c r="L25" s="4">
        <v>1.0132669999999999</v>
      </c>
      <c r="M25" s="4">
        <v>1.0123</v>
      </c>
    </row>
    <row r="26" spans="1:13" x14ac:dyDescent="0.25">
      <c r="A26" s="1">
        <v>2.2999999999999998</v>
      </c>
      <c r="B26" s="1">
        <v>10.68</v>
      </c>
      <c r="C26" s="1">
        <v>10.9</v>
      </c>
      <c r="D26" s="1">
        <v>9.2200000000000006</v>
      </c>
      <c r="E26" s="1">
        <v>10.32</v>
      </c>
      <c r="F26" s="1">
        <v>10.33</v>
      </c>
      <c r="H26" s="1">
        <v>2.2999999999999998</v>
      </c>
      <c r="I26" s="4">
        <v>1.025191</v>
      </c>
      <c r="J26" s="4">
        <v>1.024224</v>
      </c>
      <c r="K26" s="4">
        <v>1.024224</v>
      </c>
      <c r="L26" s="4">
        <v>1.0232570000000001</v>
      </c>
      <c r="M26" s="4">
        <v>1.0232570000000001</v>
      </c>
    </row>
    <row r="27" spans="1:13" x14ac:dyDescent="0.25">
      <c r="A27" s="1">
        <v>2.4</v>
      </c>
      <c r="B27" s="1">
        <v>11.94</v>
      </c>
      <c r="C27" s="1">
        <v>12.12</v>
      </c>
      <c r="D27" s="1">
        <v>11.15</v>
      </c>
      <c r="E27" s="1">
        <v>11.53</v>
      </c>
      <c r="F27" s="1">
        <v>11.47</v>
      </c>
      <c r="H27" s="1">
        <v>2.4</v>
      </c>
      <c r="I27" s="4">
        <v>1.0322800000000001</v>
      </c>
      <c r="J27" s="4">
        <v>1.0313140000000001</v>
      </c>
      <c r="K27" s="4">
        <v>1.0313140000000001</v>
      </c>
      <c r="L27" s="4">
        <v>1.0306690000000001</v>
      </c>
      <c r="M27" s="4">
        <v>1.0306690000000001</v>
      </c>
    </row>
    <row r="28" spans="1:13" x14ac:dyDescent="0.25">
      <c r="A28" s="1">
        <v>2.5</v>
      </c>
      <c r="B28" s="1">
        <v>12.78</v>
      </c>
      <c r="C28" s="1">
        <v>12.93</v>
      </c>
      <c r="D28" s="1">
        <v>12.4</v>
      </c>
      <c r="E28" s="1">
        <v>12.34</v>
      </c>
      <c r="F28" s="1">
        <v>12.24</v>
      </c>
      <c r="H28" s="1">
        <v>2.5</v>
      </c>
      <c r="I28" s="4">
        <v>1.0367919999999999</v>
      </c>
      <c r="J28" s="4">
        <v>1.035825</v>
      </c>
      <c r="K28" s="4">
        <v>1.03647</v>
      </c>
      <c r="L28" s="4">
        <v>1.0355030000000001</v>
      </c>
      <c r="M28" s="4">
        <v>1.035825</v>
      </c>
    </row>
    <row r="29" spans="1:13" x14ac:dyDescent="0.25">
      <c r="A29" s="1">
        <v>2.6</v>
      </c>
      <c r="B29" s="1">
        <v>13.24</v>
      </c>
      <c r="C29" s="1">
        <v>13.36</v>
      </c>
      <c r="D29" s="1">
        <v>13.04</v>
      </c>
      <c r="E29" s="1">
        <v>12.78</v>
      </c>
      <c r="F29" s="1">
        <v>12.68</v>
      </c>
      <c r="H29" s="1">
        <v>2.6</v>
      </c>
      <c r="I29" s="4">
        <v>1.0400149999999999</v>
      </c>
      <c r="J29" s="4">
        <v>1.039048</v>
      </c>
      <c r="K29" s="4">
        <v>1.038726</v>
      </c>
      <c r="L29" s="4">
        <v>1.038726</v>
      </c>
      <c r="M29" s="4">
        <v>1.038726</v>
      </c>
    </row>
    <row r="30" spans="1:13" x14ac:dyDescent="0.25">
      <c r="A30" s="1">
        <v>2.7</v>
      </c>
      <c r="B30" s="1">
        <v>13.36</v>
      </c>
      <c r="C30" s="1">
        <v>13.51</v>
      </c>
      <c r="D30" s="1">
        <v>13.25</v>
      </c>
      <c r="E30" s="1">
        <v>12.9</v>
      </c>
      <c r="F30" s="1">
        <v>12.88</v>
      </c>
      <c r="H30" s="1">
        <v>2.7</v>
      </c>
      <c r="I30" s="4">
        <v>1.0416259999999999</v>
      </c>
      <c r="J30" s="4">
        <v>1.0403370000000001</v>
      </c>
      <c r="K30" s="4">
        <v>1.0409809999999999</v>
      </c>
      <c r="L30" s="4">
        <v>1.0400149999999999</v>
      </c>
      <c r="M30" s="4">
        <v>1.0396920000000001</v>
      </c>
    </row>
    <row r="31" spans="1:13" x14ac:dyDescent="0.25">
      <c r="A31" s="1">
        <v>2.8</v>
      </c>
      <c r="B31" s="1">
        <v>13.21</v>
      </c>
      <c r="C31" s="1">
        <v>13.43</v>
      </c>
      <c r="D31" s="1">
        <v>13.14</v>
      </c>
      <c r="E31" s="1">
        <v>12.76</v>
      </c>
      <c r="F31" s="1">
        <v>12.77</v>
      </c>
      <c r="H31" s="1">
        <v>2.8</v>
      </c>
      <c r="I31" s="4">
        <v>1.0419480000000001</v>
      </c>
      <c r="J31" s="4">
        <v>1.0400149999999999</v>
      </c>
      <c r="K31" s="4">
        <v>1.040659</v>
      </c>
      <c r="L31" s="4">
        <v>1.040659</v>
      </c>
      <c r="M31" s="4">
        <v>1.0396920000000001</v>
      </c>
    </row>
    <row r="32" spans="1:13" x14ac:dyDescent="0.25">
      <c r="A32" s="1">
        <v>2.9</v>
      </c>
      <c r="B32" s="1">
        <v>12.88</v>
      </c>
      <c r="C32" s="1">
        <v>13.09</v>
      </c>
      <c r="D32" s="1">
        <v>12.82</v>
      </c>
      <c r="E32" s="1">
        <v>12.46</v>
      </c>
      <c r="F32" s="1">
        <v>12.36</v>
      </c>
      <c r="H32" s="1">
        <v>2.9</v>
      </c>
      <c r="I32" s="4">
        <v>1.0416259999999999</v>
      </c>
      <c r="J32" s="4">
        <v>1.0393699999999999</v>
      </c>
      <c r="K32" s="4">
        <v>1.0403370000000001</v>
      </c>
      <c r="L32" s="4">
        <v>1.0396920000000001</v>
      </c>
      <c r="M32" s="4">
        <v>1.0396920000000001</v>
      </c>
    </row>
    <row r="33" spans="1:13" x14ac:dyDescent="0.25">
      <c r="A33" s="1">
        <v>3</v>
      </c>
      <c r="B33" s="1">
        <v>12.39</v>
      </c>
      <c r="C33" s="1">
        <v>12.52</v>
      </c>
      <c r="D33" s="1">
        <v>12.35</v>
      </c>
      <c r="E33" s="1">
        <v>11.99</v>
      </c>
      <c r="F33" s="1">
        <v>11.82</v>
      </c>
      <c r="H33" s="1">
        <v>3</v>
      </c>
      <c r="I33" s="4">
        <v>1.0396920000000001</v>
      </c>
      <c r="J33" s="4">
        <v>1.038726</v>
      </c>
      <c r="K33" s="4">
        <v>1.038726</v>
      </c>
      <c r="L33" s="4">
        <v>1.038403</v>
      </c>
      <c r="M33" s="4">
        <v>1.0377590000000001</v>
      </c>
    </row>
    <row r="34" spans="1:13" x14ac:dyDescent="0.25">
      <c r="A34" s="1">
        <v>3.1</v>
      </c>
      <c r="B34" s="1">
        <v>11.81</v>
      </c>
      <c r="C34" s="1">
        <v>11.89</v>
      </c>
      <c r="D34" s="1">
        <v>11.82</v>
      </c>
      <c r="E34" s="1">
        <v>11.41</v>
      </c>
      <c r="F34" s="1">
        <v>11.24</v>
      </c>
      <c r="H34" s="1">
        <v>3.1</v>
      </c>
      <c r="I34" s="4">
        <v>1.0377590000000001</v>
      </c>
      <c r="J34" s="4">
        <v>1.0361480000000001</v>
      </c>
      <c r="K34" s="4">
        <v>1.0371140000000001</v>
      </c>
      <c r="L34" s="4">
        <v>1.03647</v>
      </c>
      <c r="M34" s="4">
        <v>1.035825</v>
      </c>
    </row>
    <row r="35" spans="1:13" x14ac:dyDescent="0.25">
      <c r="A35" s="1">
        <v>3.2</v>
      </c>
      <c r="B35" s="1">
        <v>11.35</v>
      </c>
      <c r="C35" s="1">
        <v>11.34</v>
      </c>
      <c r="D35" s="1">
        <v>11.22</v>
      </c>
      <c r="E35" s="1">
        <v>10.9</v>
      </c>
      <c r="F35" s="1">
        <v>10.79</v>
      </c>
      <c r="H35" s="1">
        <v>3.2</v>
      </c>
      <c r="I35" s="4">
        <v>1.035825</v>
      </c>
      <c r="J35" s="4">
        <v>1.0335700000000001</v>
      </c>
      <c r="K35" s="4">
        <v>1.034214</v>
      </c>
      <c r="L35" s="4">
        <v>1.0335700000000001</v>
      </c>
      <c r="M35" s="4">
        <v>1.033892</v>
      </c>
    </row>
    <row r="36" spans="1:13" x14ac:dyDescent="0.25">
      <c r="A36" s="1">
        <v>3.3</v>
      </c>
      <c r="B36" s="1">
        <v>10.89</v>
      </c>
      <c r="C36" s="1">
        <v>11.1</v>
      </c>
      <c r="D36" s="1">
        <v>10.85</v>
      </c>
      <c r="E36" s="1">
        <v>10.71</v>
      </c>
      <c r="F36" s="1">
        <v>10.61</v>
      </c>
      <c r="H36" s="1">
        <v>3.3</v>
      </c>
      <c r="I36" s="4">
        <v>1.0329250000000001</v>
      </c>
      <c r="J36" s="4">
        <v>1.030991</v>
      </c>
      <c r="K36" s="4">
        <v>1.0313140000000001</v>
      </c>
      <c r="L36" s="4">
        <v>1.030991</v>
      </c>
      <c r="M36" s="4">
        <v>1.0297019999999999</v>
      </c>
    </row>
    <row r="37" spans="1:13" x14ac:dyDescent="0.25">
      <c r="A37" s="1">
        <v>3.4</v>
      </c>
      <c r="B37" s="1">
        <v>10.44</v>
      </c>
      <c r="C37" s="1">
        <v>10.65</v>
      </c>
      <c r="D37" s="1">
        <v>10.59</v>
      </c>
      <c r="E37" s="1">
        <v>10.33</v>
      </c>
      <c r="F37" s="1">
        <v>10.27</v>
      </c>
      <c r="H37" s="1">
        <v>3.4</v>
      </c>
      <c r="I37" s="4">
        <v>1.0297019999999999</v>
      </c>
      <c r="J37" s="4">
        <v>1.0277689999999999</v>
      </c>
      <c r="K37" s="4">
        <v>1.028413</v>
      </c>
      <c r="L37" s="4">
        <v>1.0280910000000001</v>
      </c>
      <c r="M37" s="4">
        <v>1.0277689999999999</v>
      </c>
    </row>
    <row r="38" spans="1:13" x14ac:dyDescent="0.25">
      <c r="A38" s="1">
        <v>3.5</v>
      </c>
      <c r="B38" s="1">
        <v>10.35</v>
      </c>
      <c r="C38" s="1">
        <v>10.5</v>
      </c>
      <c r="D38" s="1">
        <v>10.41</v>
      </c>
      <c r="E38" s="1">
        <v>10.24</v>
      </c>
      <c r="F38" s="1">
        <v>10.15</v>
      </c>
      <c r="H38" s="1">
        <v>3.5</v>
      </c>
      <c r="I38" s="4">
        <v>1.0261579999999999</v>
      </c>
      <c r="J38" s="4">
        <v>1.0248679999999999</v>
      </c>
      <c r="K38" s="4">
        <v>1.0258350000000001</v>
      </c>
      <c r="L38" s="4">
        <v>1.0255129999999999</v>
      </c>
      <c r="M38" s="4">
        <v>1.024224</v>
      </c>
    </row>
    <row r="40" spans="1:13" x14ac:dyDescent="0.25">
      <c r="A40" s="16" t="s">
        <v>8</v>
      </c>
      <c r="B40" s="16"/>
      <c r="H40" s="16" t="s">
        <v>9</v>
      </c>
      <c r="I40" s="16"/>
      <c r="K40" s="16" t="s">
        <v>7</v>
      </c>
      <c r="L40" s="16"/>
    </row>
    <row r="41" spans="1:13" x14ac:dyDescent="0.25">
      <c r="A41" s="1">
        <v>1.8</v>
      </c>
      <c r="B41" s="2">
        <f t="shared" ref="B41:B58" si="0">AVERAGE(B21:F21)</f>
        <v>0.312</v>
      </c>
      <c r="H41" s="1">
        <v>1.8</v>
      </c>
      <c r="I41" s="4">
        <f t="shared" ref="I41:I58" si="1">AVERAGE(I21:M21)</f>
        <v>0.77112080000000005</v>
      </c>
      <c r="K41" s="1">
        <v>1.8</v>
      </c>
      <c r="L41">
        <f>B41/I41</f>
        <v>0.40460586720005476</v>
      </c>
    </row>
    <row r="42" spans="1:13" x14ac:dyDescent="0.25">
      <c r="A42" s="1">
        <v>1.9</v>
      </c>
      <c r="B42" s="2">
        <f t="shared" si="0"/>
        <v>1.6679999999999999</v>
      </c>
      <c r="H42" s="1">
        <v>1.9</v>
      </c>
      <c r="I42" s="4">
        <f t="shared" si="1"/>
        <v>0.92342095999999996</v>
      </c>
      <c r="K42" s="1">
        <v>1.9</v>
      </c>
      <c r="L42">
        <f t="shared" ref="L42:L58" si="2">B42/I42</f>
        <v>1.8063267699706536</v>
      </c>
    </row>
    <row r="43" spans="1:13" x14ac:dyDescent="0.25">
      <c r="A43" s="1">
        <v>2</v>
      </c>
      <c r="B43" s="2">
        <f t="shared" si="0"/>
        <v>3.4279999999999995</v>
      </c>
      <c r="H43" s="1">
        <v>2</v>
      </c>
      <c r="I43" s="4">
        <f t="shared" si="1"/>
        <v>0.97053539999999994</v>
      </c>
      <c r="K43" s="1">
        <v>2</v>
      </c>
      <c r="L43">
        <f t="shared" si="2"/>
        <v>3.5320710609834527</v>
      </c>
    </row>
    <row r="44" spans="1:13" x14ac:dyDescent="0.25">
      <c r="A44" s="1">
        <v>2.1</v>
      </c>
      <c r="B44" s="2">
        <f t="shared" si="0"/>
        <v>6.3920000000000003</v>
      </c>
      <c r="H44" s="1">
        <v>2.1</v>
      </c>
      <c r="I44" s="4">
        <f t="shared" si="1"/>
        <v>0.99689627999999997</v>
      </c>
      <c r="K44" s="1">
        <v>2.1</v>
      </c>
      <c r="L44">
        <f t="shared" si="2"/>
        <v>6.4119007445789649</v>
      </c>
    </row>
    <row r="45" spans="1:13" x14ac:dyDescent="0.25">
      <c r="A45" s="1">
        <v>2.2000000000000002</v>
      </c>
      <c r="B45" s="2">
        <f t="shared" si="0"/>
        <v>8.5280000000000005</v>
      </c>
      <c r="H45" s="1">
        <v>2.2000000000000002</v>
      </c>
      <c r="I45" s="4">
        <f t="shared" si="1"/>
        <v>1.0131382</v>
      </c>
      <c r="K45" s="1">
        <v>2.2000000000000002</v>
      </c>
      <c r="L45">
        <f t="shared" si="2"/>
        <v>8.4174103789591594</v>
      </c>
    </row>
    <row r="46" spans="1:13" x14ac:dyDescent="0.25">
      <c r="A46" s="1">
        <v>2.2999999999999998</v>
      </c>
      <c r="B46" s="2">
        <f t="shared" si="0"/>
        <v>10.29</v>
      </c>
      <c r="H46" s="1">
        <v>2.2999999999999998</v>
      </c>
      <c r="I46" s="4">
        <f t="shared" si="1"/>
        <v>1.0240306000000001</v>
      </c>
      <c r="K46" s="1">
        <v>2.2999999999999998</v>
      </c>
      <c r="L46">
        <f t="shared" si="2"/>
        <v>10.048527846726452</v>
      </c>
    </row>
    <row r="47" spans="1:13" x14ac:dyDescent="0.25">
      <c r="A47" s="1">
        <v>2.4</v>
      </c>
      <c r="B47" s="2">
        <f t="shared" si="0"/>
        <v>11.641999999999999</v>
      </c>
      <c r="H47" s="1">
        <v>2.4</v>
      </c>
      <c r="I47" s="4">
        <f t="shared" si="1"/>
        <v>1.0312492</v>
      </c>
      <c r="K47" s="1">
        <v>2.4</v>
      </c>
      <c r="L47">
        <f t="shared" si="2"/>
        <v>11.289220878910742</v>
      </c>
    </row>
    <row r="48" spans="1:13" x14ac:dyDescent="0.25">
      <c r="A48" s="1">
        <v>2.5</v>
      </c>
      <c r="B48" s="2">
        <f t="shared" si="0"/>
        <v>12.538</v>
      </c>
      <c r="H48" s="1">
        <v>2.5</v>
      </c>
      <c r="I48" s="4">
        <f t="shared" si="1"/>
        <v>1.0360830000000001</v>
      </c>
      <c r="K48" s="1">
        <v>2.5</v>
      </c>
      <c r="L48">
        <f t="shared" si="2"/>
        <v>12.101347092848739</v>
      </c>
    </row>
    <row r="49" spans="1:12" x14ac:dyDescent="0.25">
      <c r="A49" s="1">
        <v>2.6</v>
      </c>
      <c r="B49" s="2">
        <f t="shared" si="0"/>
        <v>13.02</v>
      </c>
      <c r="H49" s="1">
        <v>2.6</v>
      </c>
      <c r="I49" s="4">
        <f t="shared" si="1"/>
        <v>1.0390481999999999</v>
      </c>
      <c r="K49" s="1">
        <v>2.6</v>
      </c>
      <c r="L49">
        <f t="shared" si="2"/>
        <v>12.530698768353577</v>
      </c>
    </row>
    <row r="50" spans="1:12" x14ac:dyDescent="0.25">
      <c r="A50" s="1">
        <v>2.7</v>
      </c>
      <c r="B50" s="2">
        <f t="shared" si="0"/>
        <v>13.179999999999998</v>
      </c>
      <c r="H50" s="1">
        <v>2.7</v>
      </c>
      <c r="I50" s="4">
        <f t="shared" si="1"/>
        <v>1.0405301999999998</v>
      </c>
      <c r="K50" s="1">
        <v>2.7</v>
      </c>
      <c r="L50">
        <f t="shared" si="2"/>
        <v>12.666619383079896</v>
      </c>
    </row>
    <row r="51" spans="1:12" x14ac:dyDescent="0.25">
      <c r="A51" s="1">
        <v>2.8</v>
      </c>
      <c r="B51" s="2">
        <f t="shared" si="0"/>
        <v>13.062000000000001</v>
      </c>
      <c r="H51" s="1">
        <v>2.8</v>
      </c>
      <c r="I51" s="4">
        <f t="shared" si="1"/>
        <v>1.0405945999999999</v>
      </c>
      <c r="K51" s="1">
        <v>2.8</v>
      </c>
      <c r="L51">
        <f t="shared" si="2"/>
        <v>12.552438769142183</v>
      </c>
    </row>
    <row r="52" spans="1:12" x14ac:dyDescent="0.25">
      <c r="A52" s="1">
        <v>2.9</v>
      </c>
      <c r="B52" s="2">
        <f t="shared" si="0"/>
        <v>12.722</v>
      </c>
      <c r="H52" s="1">
        <v>2.9</v>
      </c>
      <c r="I52" s="4">
        <f t="shared" si="1"/>
        <v>1.0401434000000003</v>
      </c>
      <c r="K52" s="1">
        <v>2.9</v>
      </c>
      <c r="L52">
        <f t="shared" si="2"/>
        <v>12.231005840156268</v>
      </c>
    </row>
    <row r="53" spans="1:12" x14ac:dyDescent="0.25">
      <c r="A53" s="1">
        <v>3</v>
      </c>
      <c r="B53" s="2">
        <f t="shared" si="0"/>
        <v>12.214</v>
      </c>
      <c r="H53" s="1">
        <v>3</v>
      </c>
      <c r="I53" s="4">
        <f t="shared" si="1"/>
        <v>1.0386612000000002</v>
      </c>
      <c r="K53" s="1">
        <v>3</v>
      </c>
      <c r="L53">
        <f t="shared" si="2"/>
        <v>11.759368695008535</v>
      </c>
    </row>
    <row r="54" spans="1:12" x14ac:dyDescent="0.25">
      <c r="A54" s="1">
        <v>3.1</v>
      </c>
      <c r="B54" s="2">
        <f t="shared" si="0"/>
        <v>11.634000000000002</v>
      </c>
      <c r="H54" s="1">
        <v>3.1</v>
      </c>
      <c r="I54" s="4">
        <f t="shared" si="1"/>
        <v>1.0366632</v>
      </c>
      <c r="K54" s="1">
        <v>3.1</v>
      </c>
      <c r="L54">
        <f t="shared" si="2"/>
        <v>11.222545567354954</v>
      </c>
    </row>
    <row r="55" spans="1:12" x14ac:dyDescent="0.25">
      <c r="A55" s="1">
        <v>3.2</v>
      </c>
      <c r="B55" s="2">
        <f t="shared" si="0"/>
        <v>11.12</v>
      </c>
      <c r="H55" s="1">
        <v>3.2</v>
      </c>
      <c r="I55" s="4">
        <f t="shared" si="1"/>
        <v>1.0342141999999999</v>
      </c>
      <c r="K55" s="1">
        <v>3.2</v>
      </c>
      <c r="L55">
        <f t="shared" si="2"/>
        <v>10.752124656575011</v>
      </c>
    </row>
    <row r="56" spans="1:12" x14ac:dyDescent="0.25">
      <c r="A56" s="1">
        <v>3.3</v>
      </c>
      <c r="B56" s="2">
        <f t="shared" si="0"/>
        <v>10.832000000000001</v>
      </c>
      <c r="H56" s="1">
        <v>3.3</v>
      </c>
      <c r="I56" s="4">
        <f t="shared" si="1"/>
        <v>1.0311846</v>
      </c>
      <c r="K56" s="1">
        <v>3.3</v>
      </c>
      <c r="L56">
        <f t="shared" si="2"/>
        <v>10.504423747212673</v>
      </c>
    </row>
    <row r="57" spans="1:12" x14ac:dyDescent="0.25">
      <c r="A57" s="1">
        <v>3.4</v>
      </c>
      <c r="B57" s="2">
        <f t="shared" si="0"/>
        <v>10.456</v>
      </c>
      <c r="H57" s="1">
        <v>3.4</v>
      </c>
      <c r="I57" s="4">
        <f t="shared" si="1"/>
        <v>1.0283488000000001</v>
      </c>
      <c r="K57" s="1">
        <v>3.4</v>
      </c>
      <c r="L57">
        <f t="shared" si="2"/>
        <v>10.167756309921302</v>
      </c>
    </row>
    <row r="58" spans="1:12" x14ac:dyDescent="0.25">
      <c r="A58" s="1">
        <v>3.5</v>
      </c>
      <c r="B58" s="2">
        <f t="shared" si="0"/>
        <v>10.33</v>
      </c>
      <c r="H58" s="1">
        <v>3.5</v>
      </c>
      <c r="I58" s="4">
        <f t="shared" si="1"/>
        <v>1.0253196</v>
      </c>
      <c r="K58" s="1">
        <v>3.5</v>
      </c>
      <c r="L58">
        <f t="shared" si="2"/>
        <v>10.07490737522232</v>
      </c>
    </row>
  </sheetData>
  <mergeCells count="5">
    <mergeCell ref="A1:F1"/>
    <mergeCell ref="H1:M1"/>
    <mergeCell ref="K40:L40"/>
    <mergeCell ref="A40:B40"/>
    <mergeCell ref="H40:I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Azul</vt:lpstr>
      <vt:lpstr>Verde</vt:lpstr>
      <vt:lpstr>Rojo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Rosas Moran</dc:creator>
  <cp:lastModifiedBy>Diego Torres</cp:lastModifiedBy>
  <cp:lastPrinted>2026-10-15T08:20:46Z</cp:lastPrinted>
  <dcterms:created xsi:type="dcterms:W3CDTF">2026-10-14T21:32:54Z</dcterms:created>
  <dcterms:modified xsi:type="dcterms:W3CDTF">2026-10-24T00:58:29Z</dcterms:modified>
</cp:coreProperties>
</file>